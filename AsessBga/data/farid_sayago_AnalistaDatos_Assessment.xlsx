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ase de Datos" sheetId="1" state="visible" r:id="rId3"/>
    <sheet name="Informe KPIs" sheetId="2" state="visible" r:id="rId4"/>
    <sheet name="Mora por Mes" sheetId="3" state="visible" r:id="rId5"/>
    <sheet name="Estrategias de Mejora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<sst xmlns="http://schemas.openxmlformats.org/spreadsheetml/2006/main" count="113" uniqueCount="76">
  <si>
    <t xml:space="preserve">BASE DE DATOS — CARTERA DE CLIENTES 2024</t>
  </si>
  <si>
    <t xml:space="preserve">ID Cliente</t>
  </si>
  <si>
    <t xml:space="preserve">Nombre</t>
  </si>
  <si>
    <t xml:space="preserve">Fecha de Pago</t>
  </si>
  <si>
    <t xml:space="preserve">Monto Pagado (COP)</t>
  </si>
  <si>
    <t xml:space="preserve">Estado</t>
  </si>
  <si>
    <t xml:space="preserve">Mes de Pago</t>
  </si>
  <si>
    <t xml:space="preserve">C001</t>
  </si>
  <si>
    <t xml:space="preserve">Juan Pérez</t>
  </si>
  <si>
    <t xml:space="preserve">Sin registro</t>
  </si>
  <si>
    <t xml:space="preserve">En mora</t>
  </si>
  <si>
    <t xml:space="preserve">Sin fecha</t>
  </si>
  <si>
    <t xml:space="preserve">C002</t>
  </si>
  <si>
    <t xml:space="preserve">María Gómez</t>
  </si>
  <si>
    <t xml:space="preserve">Pagado</t>
  </si>
  <si>
    <t xml:space="preserve">2024-02</t>
  </si>
  <si>
    <t xml:space="preserve">C003</t>
  </si>
  <si>
    <t xml:space="preserve">Carlos López</t>
  </si>
  <si>
    <t xml:space="preserve">2024-03</t>
  </si>
  <si>
    <t xml:space="preserve">C004</t>
  </si>
  <si>
    <t xml:space="preserve">Ana Díaz</t>
  </si>
  <si>
    <t xml:space="preserve">Pago sin fecha</t>
  </si>
  <si>
    <t xml:space="preserve">C005</t>
  </si>
  <si>
    <t xml:space="preserve">Luis Torres</t>
  </si>
  <si>
    <t xml:space="preserve">2024-05</t>
  </si>
  <si>
    <t xml:space="preserve">C006</t>
  </si>
  <si>
    <t xml:space="preserve">Lucía Ramírez</t>
  </si>
  <si>
    <t xml:space="preserve">C007</t>
  </si>
  <si>
    <t xml:space="preserve">Andrés Martínez</t>
  </si>
  <si>
    <t xml:space="preserve">C008</t>
  </si>
  <si>
    <t xml:space="preserve">Paola Mejía</t>
  </si>
  <si>
    <t xml:space="preserve">2024-08</t>
  </si>
  <si>
    <t xml:space="preserve">C009</t>
  </si>
  <si>
    <t xml:space="preserve">Pedro Ríos</t>
  </si>
  <si>
    <t xml:space="preserve">C010</t>
  </si>
  <si>
    <t xml:space="preserve">Laura Sánchez</t>
  </si>
  <si>
    <t xml:space="preserve">2024-10</t>
  </si>
  <si>
    <t xml:space="preserve">Leyenda de estados:</t>
  </si>
  <si>
    <t xml:space="preserve">Sin fecha y sin pago registrado</t>
  </si>
  <si>
    <t xml:space="preserve">Tiene monto pero falta fecha de pago</t>
  </si>
  <si>
    <t xml:space="preserve">Pago completo con fecha registrada</t>
  </si>
  <si>
    <t xml:space="preserve">INFORME DE INDICADORES — CARTERA 2024</t>
  </si>
  <si>
    <t xml:space="preserve">INDICADOR</t>
  </si>
  <si>
    <t xml:space="preserve">VALOR</t>
  </si>
  <si>
    <t xml:space="preserve">Total clientes en cartera</t>
  </si>
  <si>
    <t xml:space="preserve">Clientes con pago exitoso</t>
  </si>
  <si>
    <t xml:space="preserve">Clientes en mora</t>
  </si>
  <si>
    <t xml:space="preserve">Clientes con pago sin fecha</t>
  </si>
  <si>
    <t xml:space="preserve">Total recaudado (COP)</t>
  </si>
  <si>
    <t xml:space="preserve">Deuda estimada en mora (COP)</t>
  </si>
  <si>
    <t xml:space="preserve">Porcentaje de recuperación</t>
  </si>
  <si>
    <t xml:space="preserve">Nota metodológica:</t>
  </si>
  <si>
    <t xml:space="preserve">La 'Deuda estimada en mora' es un proxy calculado como: promedio de montos pagados × N° clientes en mora. La tasa de recuperación = Total recaudado / (Total recaudado + Deuda estimada).</t>
  </si>
  <si>
    <t xml:space="preserve">TABLA DINÁMICA — DISTRIBUCIÓN DE PAGOS Y MORA POR MES</t>
  </si>
  <si>
    <t xml:space="preserve">Mes</t>
  </si>
  <si>
    <t xml:space="preserve">N° Pagos</t>
  </si>
  <si>
    <t xml:space="preserve">Monto Recaudado (COP)</t>
  </si>
  <si>
    <t xml:space="preserve">% del Total</t>
  </si>
  <si>
    <t xml:space="preserve">TOTAL PAGADO</t>
  </si>
  <si>
    <t xml:space="preserve">100.0%</t>
  </si>
  <si>
    <t xml:space="preserve">CLIENTES EN MORA (sin fecha ni pago)</t>
  </si>
  <si>
    <t xml:space="preserve">ESTRATEGIAS DE MEJORA — BASADAS EN EL ANÁLISIS DE CARTERA</t>
  </si>
  <si>
    <t xml:space="preserve">ESTRATEGIA 1</t>
  </si>
  <si>
    <t xml:space="preserve">Título:</t>
  </si>
  <si>
    <t xml:space="preserve">Gestión activa de cobro para clientes en mora</t>
  </si>
  <si>
    <t xml:space="preserve">Problema identificado:</t>
  </si>
  <si>
    <t xml:space="preserve">2 clientes (C001 - Juan Pérez, C006 - Lucía Ramírez) no registran fecha ni monto pagado. Representan el 20% de la cartera con $0 recuperados.</t>
  </si>
  <si>
    <t xml:space="preserve">Acción propuesta:</t>
  </si>
  <si>
    <t xml:space="preserve">Implementar un flujo de cobro escalonado: (1) Notificación automática a los 5 días de vencimiento, (2) Llamada de seguimiento a los 15 días, (3) Acuerdo de pago o escalamiento legal a los 30 días. Registrar el canal de contacto y resultado de cada gestión en la base de datos.</t>
  </si>
  <si>
    <t xml:space="preserve">KPI de éxito:</t>
  </si>
  <si>
    <t xml:space="preserve">Reducir mora de 20% a &lt;5% en 90 días. Recuperar al menos $150,000 COP del proxy estimado.</t>
  </si>
  <si>
    <t xml:space="preserve">ESTRATEGIA 2</t>
  </si>
  <si>
    <t xml:space="preserve">Normalización de registros sin fecha de pago</t>
  </si>
  <si>
    <t xml:space="preserve">3 clientes (C004, C007, C009) suman $600,000 COP pagados pero sin fecha registrada. Esto impide análisis temporal, auditoría y seguimiento de mora real vs. mora contable.</t>
  </si>
  <si>
    <t xml:space="preserve">Crear un proceso de validación obligatoria: el sistema no debe permitir guardar un monto &gt; 0 sin una fecha de pago asociada. A corto plazo, contactar a los 3 clientes para confirmar la fecha real del pago y actualizar el registro. Añadir columna 'Fecha de Actualización' para trazabilidad.</t>
  </si>
  <si>
    <t xml:space="preserve">100% de registros con monto &gt; 0 deben tener fecha de pago en el siguiente ciclo de corte. Reducir 'Pago sin fecha' de 30% a 0%.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</si>
</sst>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dd/mm/yyyy"/>
    <numFmt numFmtId="166" formatCode="\$#,##0"/>
    <numFmt numFmtId="167" formatCode="#,##0"/>
    <numFmt numFmtId="168" formatCode="0.0%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2"/>
      <color rgb="FF1F4E79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1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FFFFF"/>
        <bgColor rgb="FFFFFFCC"/>
      </patternFill>
    </fill>
    <fill>
      <patternFill patternType="solid">
        <fgColor rgb="FFFF7F7F"/>
        <bgColor rgb="FFFF99CC"/>
      </patternFill>
    </fill>
    <fill>
      <patternFill patternType="solid">
        <fgColor rgb="FFD6E4F0"/>
        <bgColor rgb="FFC6EFCE"/>
      </patternFill>
    </fill>
    <fill>
      <patternFill patternType="solid">
        <fgColor rgb="FFC6EFCE"/>
        <bgColor rgb="FFD6E4F0"/>
      </patternFill>
    </fill>
    <fill>
      <patternFill patternType="solid">
        <fgColor rgb="FFFFE699"/>
        <bgColor rgb="FFFFCC99"/>
      </patternFill>
    </fill>
    <fill>
      <patternFill patternType="solid">
        <fgColor rgb="FFBDD7EE"/>
        <bgColor rgb="FFD6E4F0"/>
      </patternFill>
    </fill>
    <fill>
      <patternFill patternType="solid">
        <fgColor rgb="FF2E75B6"/>
        <bgColor rgb="FF0066CC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 diagonalUp="false" diagonalDown="false">
      <left style="thin">
        <color rgb="FFAAAAAA"/>
      </left>
      <right/>
      <top style="thin">
        <color rgb="FFAAAAAA"/>
      </top>
      <bottom style="thin">
        <color rgb="FFAAAAA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6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6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6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6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8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8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8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8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8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0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6E4F0"/>
      <rgbColor rgb="FF660066"/>
      <rgbColor rgb="FFFF7F7F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6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555555"/>
      <rgbColor rgb="FFAAAAAA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20"/>
    <col collapsed="false" customWidth="true" hidden="false" outlineLevel="0" max="3" min="3" style="1" width="16"/>
    <col collapsed="false" customWidth="true" hidden="false" outlineLevel="0" max="4" min="4" style="1" width="20"/>
    <col collapsed="false" customWidth="true" hidden="false" outlineLevel="0" max="5" min="5" style="1" width="18"/>
    <col collapsed="false" customWidth="true" hidden="false" outlineLevel="0" max="6" min="6" style="1" width="12"/>
  </cols>
  <sheetData>
    <row r="1" customFormat="false" ht="30" hidden="false" customHeight="true" outlineLevel="0" collapsed="false">
      <c r="A1" s="2" t="s">
        <v>0</v>
      </c>
      <c r="B1" s="2"/>
      <c r="C1" s="2"/>
      <c r="D1" s="2"/>
      <c r="E1" s="2"/>
      <c r="F1" s="2"/>
    </row>
    <row r="2" customFormat="false" ht="26.25" hidden="false" customHeight="true" outlineLevel="0" collapsed="false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</row>
    <row r="3" customFormat="false" ht="15" hidden="false" customHeight="true" outlineLevel="0" collapsed="false">
      <c r="A3" s="4" t="s">
        <v>7</v>
      </c>
      <c r="B3" s="4" t="s">
        <v>8</v>
      </c>
      <c r="C3" s="5" t="s">
        <v>9</v>
      </c>
      <c r="D3" s="6" t="n">
        <v>0</v>
      </c>
      <c r="E3" s="7" t="s">
        <v>10</v>
      </c>
      <c r="F3" s="4" t="s">
        <v>11</v>
      </c>
    </row>
    <row r="4" customFormat="false" ht="15" hidden="false" customHeight="true" outlineLevel="0" collapsed="false">
      <c r="A4" s="8" t="s">
        <v>12</v>
      </c>
      <c r="B4" s="8" t="s">
        <v>13</v>
      </c>
      <c r="C4" s="9" t="n">
        <v>45342</v>
      </c>
      <c r="D4" s="10" t="n">
        <v>100000</v>
      </c>
      <c r="E4" s="11" t="s">
        <v>14</v>
      </c>
      <c r="F4" s="8" t="s">
        <v>15</v>
      </c>
    </row>
    <row r="5" customFormat="false" ht="15" hidden="false" customHeight="true" outlineLevel="0" collapsed="false">
      <c r="A5" s="4" t="s">
        <v>16</v>
      </c>
      <c r="B5" s="4" t="s">
        <v>17</v>
      </c>
      <c r="C5" s="5" t="n">
        <v>45360</v>
      </c>
      <c r="D5" s="6" t="n">
        <v>50000</v>
      </c>
      <c r="E5" s="11" t="s">
        <v>14</v>
      </c>
      <c r="F5" s="4" t="s">
        <v>18</v>
      </c>
    </row>
    <row r="6" customFormat="false" ht="15" hidden="false" customHeight="true" outlineLevel="0" collapsed="false">
      <c r="A6" s="8" t="s">
        <v>19</v>
      </c>
      <c r="B6" s="8" t="s">
        <v>20</v>
      </c>
      <c r="C6" s="9" t="s">
        <v>9</v>
      </c>
      <c r="D6" s="10" t="n">
        <v>250000</v>
      </c>
      <c r="E6" s="12" t="s">
        <v>21</v>
      </c>
      <c r="F6" s="8" t="s">
        <v>11</v>
      </c>
    </row>
    <row r="7" customFormat="false" ht="15" hidden="false" customHeight="true" outlineLevel="0" collapsed="false">
      <c r="A7" s="4" t="s">
        <v>22</v>
      </c>
      <c r="B7" s="4" t="s">
        <v>23</v>
      </c>
      <c r="C7" s="5" t="n">
        <v>45438</v>
      </c>
      <c r="D7" s="6" t="n">
        <v>50000</v>
      </c>
      <c r="E7" s="11" t="s">
        <v>14</v>
      </c>
      <c r="F7" s="4" t="s">
        <v>24</v>
      </c>
    </row>
    <row r="8" customFormat="false" ht="15" hidden="false" customHeight="true" outlineLevel="0" collapsed="false">
      <c r="A8" s="8" t="s">
        <v>25</v>
      </c>
      <c r="B8" s="8" t="s">
        <v>26</v>
      </c>
      <c r="C8" s="9" t="s">
        <v>9</v>
      </c>
      <c r="D8" s="10" t="n">
        <v>0</v>
      </c>
      <c r="E8" s="7" t="s">
        <v>10</v>
      </c>
      <c r="F8" s="8" t="s">
        <v>11</v>
      </c>
    </row>
    <row r="9" customFormat="false" ht="15" hidden="false" customHeight="true" outlineLevel="0" collapsed="false">
      <c r="A9" s="4" t="s">
        <v>27</v>
      </c>
      <c r="B9" s="4" t="s">
        <v>28</v>
      </c>
      <c r="C9" s="5" t="s">
        <v>9</v>
      </c>
      <c r="D9" s="6" t="n">
        <v>100000</v>
      </c>
      <c r="E9" s="12" t="s">
        <v>21</v>
      </c>
      <c r="F9" s="4" t="s">
        <v>11</v>
      </c>
    </row>
    <row r="10" customFormat="false" ht="15" hidden="false" customHeight="true" outlineLevel="0" collapsed="false">
      <c r="A10" s="8" t="s">
        <v>29</v>
      </c>
      <c r="B10" s="8" t="s">
        <v>30</v>
      </c>
      <c r="C10" s="9" t="n">
        <v>45532</v>
      </c>
      <c r="D10" s="10" t="n">
        <v>250000</v>
      </c>
      <c r="E10" s="11" t="s">
        <v>14</v>
      </c>
      <c r="F10" s="8" t="s">
        <v>31</v>
      </c>
    </row>
    <row r="11" customFormat="false" ht="15" hidden="false" customHeight="true" outlineLevel="0" collapsed="false">
      <c r="A11" s="4" t="s">
        <v>32</v>
      </c>
      <c r="B11" s="4" t="s">
        <v>33</v>
      </c>
      <c r="C11" s="5" t="s">
        <v>9</v>
      </c>
      <c r="D11" s="6" t="n">
        <v>250000</v>
      </c>
      <c r="E11" s="12" t="s">
        <v>21</v>
      </c>
      <c r="F11" s="4" t="s">
        <v>11</v>
      </c>
    </row>
    <row r="12" customFormat="false" ht="15" hidden="false" customHeight="true" outlineLevel="0" collapsed="false">
      <c r="A12" s="8" t="s">
        <v>34</v>
      </c>
      <c r="B12" s="8" t="s">
        <v>35</v>
      </c>
      <c r="C12" s="9" t="n">
        <v>45569</v>
      </c>
      <c r="D12" s="10" t="n">
        <v>50000</v>
      </c>
      <c r="E12" s="11" t="s">
        <v>14</v>
      </c>
      <c r="F12" s="8" t="s">
        <v>36</v>
      </c>
    </row>
    <row r="14" customFormat="false" ht="15" hidden="false" customHeight="true" outlineLevel="0" collapsed="false">
      <c r="A14" s="13" t="s">
        <v>37</v>
      </c>
    </row>
    <row r="15" customFormat="false" ht="15" hidden="false" customHeight="true" outlineLevel="0" collapsed="false">
      <c r="A15" s="14" t="s">
        <v>10</v>
      </c>
      <c r="B15" s="15" t="s">
        <v>38</v>
      </c>
    </row>
    <row r="16" customFormat="false" ht="15" hidden="false" customHeight="true" outlineLevel="0" collapsed="false">
      <c r="A16" s="16" t="s">
        <v>21</v>
      </c>
      <c r="B16" s="15" t="s">
        <v>39</v>
      </c>
    </row>
    <row r="17" customFormat="false" ht="15" hidden="false" customHeight="true" outlineLevel="0" collapsed="false">
      <c r="A17" s="17" t="s">
        <v>14</v>
      </c>
      <c r="B17" s="15" t="s">
        <v>40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6"/>
    <col collapsed="false" customWidth="true" hidden="false" outlineLevel="0" max="2" min="2" style="1" width="22"/>
  </cols>
  <sheetData>
    <row r="1" customFormat="false" ht="31.5" hidden="false" customHeight="true" outlineLevel="0" collapsed="false">
      <c r="A1" s="18" t="s">
        <v>41</v>
      </c>
      <c r="B1" s="18"/>
      <c r="C1" s="18"/>
    </row>
    <row r="3" customFormat="false" ht="15" hidden="false" customHeight="true" outlineLevel="0" collapsed="false">
      <c r="A3" s="3" t="s">
        <v>42</v>
      </c>
      <c r="B3" s="3" t="s">
        <v>43</v>
      </c>
    </row>
    <row r="4" customFormat="false" ht="15" hidden="false" customHeight="true" outlineLevel="0" collapsed="false">
      <c r="A4" s="19" t="s">
        <v>44</v>
      </c>
      <c r="B4" s="20" t="n">
        <v>10</v>
      </c>
    </row>
    <row r="5" customFormat="false" ht="15" hidden="false" customHeight="true" outlineLevel="0" collapsed="false">
      <c r="A5" s="19" t="s">
        <v>45</v>
      </c>
      <c r="B5" s="21" t="n">
        <v>5</v>
      </c>
    </row>
    <row r="6" customFormat="false" ht="15" hidden="false" customHeight="true" outlineLevel="0" collapsed="false">
      <c r="A6" s="19" t="s">
        <v>46</v>
      </c>
      <c r="B6" s="22" t="n">
        <v>2</v>
      </c>
    </row>
    <row r="7" customFormat="false" ht="15" hidden="false" customHeight="true" outlineLevel="0" collapsed="false">
      <c r="A7" s="19" t="s">
        <v>47</v>
      </c>
      <c r="B7" s="23" t="n">
        <v>3</v>
      </c>
    </row>
    <row r="8" customFormat="false" ht="15" hidden="false" customHeight="true" outlineLevel="0" collapsed="false">
      <c r="A8" s="19" t="s">
        <v>48</v>
      </c>
      <c r="B8" s="24" t="n">
        <v>1100000</v>
      </c>
    </row>
    <row r="9" customFormat="false" ht="15" hidden="false" customHeight="true" outlineLevel="0" collapsed="false">
      <c r="A9" s="19" t="s">
        <v>49</v>
      </c>
      <c r="B9" s="25" t="n">
        <v>275000</v>
      </c>
    </row>
    <row r="10" customFormat="false" ht="15" hidden="false" customHeight="true" outlineLevel="0" collapsed="false">
      <c r="A10" s="19" t="s">
        <v>50</v>
      </c>
      <c r="B10" s="26" t="n">
        <v>0.8</v>
      </c>
    </row>
    <row r="12" customFormat="false" ht="15" hidden="false" customHeight="true" outlineLevel="0" collapsed="false">
      <c r="A12" s="13" t="s">
        <v>51</v>
      </c>
    </row>
    <row r="13" customFormat="false" ht="42" hidden="false" customHeight="true" outlineLevel="0" collapsed="false">
      <c r="A13" s="27" t="s">
        <v>52</v>
      </c>
      <c r="B13" s="27"/>
      <c r="C13" s="27"/>
    </row>
  </sheetData>
  <mergeCells count="2">
    <mergeCell ref="A1:C1"/>
    <mergeCell ref="A13:C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22"/>
    <col collapsed="false" customWidth="true" hidden="false" outlineLevel="0" max="3" min="3" style="1" width="24"/>
    <col collapsed="false" customWidth="true" hidden="false" outlineLevel="0" max="4" min="4" style="1" width="14"/>
  </cols>
  <sheetData>
    <row r="1" customFormat="false" ht="30" hidden="false" customHeight="true" outlineLevel="0" collapsed="false">
      <c r="A1" s="18" t="s">
        <v>53</v>
      </c>
      <c r="B1" s="18"/>
      <c r="C1" s="18"/>
      <c r="D1" s="18"/>
    </row>
    <row r="3" customFormat="false" ht="26.25" hidden="false" customHeight="true" outlineLevel="0" collapsed="false">
      <c r="A3" s="3" t="s">
        <v>54</v>
      </c>
      <c r="B3" s="3" t="s">
        <v>55</v>
      </c>
      <c r="C3" s="3" t="s">
        <v>56</v>
      </c>
      <c r="D3" s="3" t="s">
        <v>57</v>
      </c>
    </row>
    <row r="4" customFormat="false" ht="15" hidden="false" customHeight="true" outlineLevel="0" collapsed="false">
      <c r="A4" s="28" t="s">
        <v>15</v>
      </c>
      <c r="B4" s="28" t="n">
        <v>1</v>
      </c>
      <c r="C4" s="29" t="n">
        <v>100000</v>
      </c>
      <c r="D4" s="30" t="n">
        <f aca="false">IFERROR(C4/C9,0)</f>
        <v>0.2</v>
      </c>
    </row>
    <row r="5" customFormat="false" ht="15" hidden="false" customHeight="true" outlineLevel="0" collapsed="false">
      <c r="A5" s="31" t="s">
        <v>18</v>
      </c>
      <c r="B5" s="31" t="n">
        <v>1</v>
      </c>
      <c r="C5" s="32" t="n">
        <v>50000</v>
      </c>
      <c r="D5" s="33" t="n">
        <f aca="false">IFERROR(C5/C9,0)</f>
        <v>0.1</v>
      </c>
    </row>
    <row r="6" customFormat="false" ht="15" hidden="false" customHeight="true" outlineLevel="0" collapsed="false">
      <c r="A6" s="28" t="s">
        <v>24</v>
      </c>
      <c r="B6" s="28" t="n">
        <v>1</v>
      </c>
      <c r="C6" s="29" t="n">
        <v>50000</v>
      </c>
      <c r="D6" s="30" t="n">
        <f aca="false">IFERROR(C6/C9,0)</f>
        <v>0.1</v>
      </c>
    </row>
    <row r="7" customFormat="false" ht="15" hidden="false" customHeight="true" outlineLevel="0" collapsed="false">
      <c r="A7" s="31" t="s">
        <v>31</v>
      </c>
      <c r="B7" s="31" t="n">
        <v>1</v>
      </c>
      <c r="C7" s="32" t="n">
        <v>250000</v>
      </c>
      <c r="D7" s="33" t="n">
        <f aca="false">IFERROR(C7/C9,0)</f>
        <v>0.5</v>
      </c>
    </row>
    <row r="8" customFormat="false" ht="15" hidden="false" customHeight="true" outlineLevel="0" collapsed="false">
      <c r="A8" s="28" t="s">
        <v>36</v>
      </c>
      <c r="B8" s="28" t="n">
        <v>1</v>
      </c>
      <c r="C8" s="29" t="n">
        <v>50000</v>
      </c>
      <c r="D8" s="30" t="n">
        <f aca="false">IFERROR(C8/C9,0)</f>
        <v>0.1</v>
      </c>
    </row>
    <row r="9" customFormat="false" ht="23.25" hidden="false" customHeight="true" outlineLevel="0" collapsed="false">
      <c r="A9" s="34" t="s">
        <v>58</v>
      </c>
      <c r="B9" s="34" t="n">
        <f aca="false">SUM(B4:B8)</f>
        <v>5</v>
      </c>
      <c r="C9" s="35" t="n">
        <f aca="false">SUM(C4:C8)</f>
        <v>500000</v>
      </c>
      <c r="D9" s="34" t="s">
        <v>59</v>
      </c>
    </row>
    <row r="11" customFormat="false" ht="15" hidden="false" customHeight="true" outlineLevel="0" collapsed="false">
      <c r="A11" s="36" t="s">
        <v>60</v>
      </c>
      <c r="B11" s="36"/>
      <c r="C11" s="36"/>
      <c r="D11" s="36"/>
    </row>
    <row r="12" customFormat="false" ht="15" hidden="false" customHeight="true" outlineLevel="0" collapsed="false">
      <c r="A12" s="37" t="s">
        <v>1</v>
      </c>
      <c r="B12" s="37" t="s">
        <v>2</v>
      </c>
      <c r="C12" s="37" t="s">
        <v>4</v>
      </c>
      <c r="D12" s="37" t="s">
        <v>5</v>
      </c>
    </row>
    <row r="13" customFormat="false" ht="15" hidden="false" customHeight="true" outlineLevel="0" collapsed="false">
      <c r="A13" s="38" t="s">
        <v>7</v>
      </c>
      <c r="B13" s="38" t="s">
        <v>8</v>
      </c>
      <c r="C13" s="39" t="n">
        <v>0</v>
      </c>
      <c r="D13" s="38" t="s">
        <v>10</v>
      </c>
    </row>
    <row r="14" customFormat="false" ht="15" hidden="false" customHeight="true" outlineLevel="0" collapsed="false">
      <c r="A14" s="38" t="s">
        <v>25</v>
      </c>
      <c r="B14" s="38" t="s">
        <v>26</v>
      </c>
      <c r="C14" s="39" t="n">
        <v>0</v>
      </c>
      <c r="D14" s="38" t="s">
        <v>10</v>
      </c>
    </row>
  </sheetData>
  <mergeCells count="2">
    <mergeCell ref="A1:D1"/>
    <mergeCell ref="A11:D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4"/>
    <col collapsed="false" customWidth="true" hidden="false" outlineLevel="0" max="2" min="2" style="1" width="40"/>
    <col collapsed="false" customWidth="true" hidden="false" outlineLevel="0" max="3" min="3" style="1" width="20"/>
  </cols>
  <sheetData>
    <row r="1" customFormat="false" ht="31.5" hidden="false" customHeight="true" outlineLevel="0" collapsed="false">
      <c r="A1" s="18" t="s">
        <v>61</v>
      </c>
      <c r="B1" s="18"/>
      <c r="C1" s="18"/>
    </row>
    <row r="3" customFormat="false" ht="24" hidden="false" customHeight="true" outlineLevel="0" collapsed="false">
      <c r="A3" s="40" t="s">
        <v>62</v>
      </c>
      <c r="B3" s="40"/>
      <c r="C3" s="40"/>
    </row>
    <row r="4" customFormat="false" ht="15" hidden="false" customHeight="true" outlineLevel="0" collapsed="false">
      <c r="A4" s="41" t="s">
        <v>63</v>
      </c>
      <c r="B4" s="42" t="s">
        <v>64</v>
      </c>
      <c r="C4" s="42"/>
    </row>
    <row r="5" customFormat="false" ht="60" hidden="false" customHeight="true" outlineLevel="0" collapsed="false">
      <c r="A5" s="43" t="s">
        <v>65</v>
      </c>
      <c r="B5" s="44" t="s">
        <v>66</v>
      </c>
      <c r="C5" s="44"/>
    </row>
    <row r="6" customFormat="false" ht="60" hidden="false" customHeight="true" outlineLevel="0" collapsed="false">
      <c r="A6" s="43" t="s">
        <v>67</v>
      </c>
      <c r="B6" s="44" t="s">
        <v>68</v>
      </c>
      <c r="C6" s="44"/>
    </row>
    <row r="7" customFormat="false" ht="60" hidden="false" customHeight="true" outlineLevel="0" collapsed="false">
      <c r="A7" s="43" t="s">
        <v>69</v>
      </c>
      <c r="B7" s="44" t="s">
        <v>70</v>
      </c>
      <c r="C7" s="44"/>
    </row>
    <row r="9" customFormat="false" ht="24" hidden="false" customHeight="true" outlineLevel="0" collapsed="false">
      <c r="A9" s="40" t="s">
        <v>71</v>
      </c>
      <c r="B9" s="40"/>
      <c r="C9" s="40"/>
    </row>
    <row r="10" customFormat="false" ht="15" hidden="false" customHeight="true" outlineLevel="0" collapsed="false">
      <c r="A10" s="41" t="s">
        <v>63</v>
      </c>
      <c r="B10" s="42" t="s">
        <v>72</v>
      </c>
      <c r="C10" s="42"/>
    </row>
    <row r="11" customFormat="false" ht="60" hidden="false" customHeight="true" outlineLevel="0" collapsed="false">
      <c r="A11" s="45" t="s">
        <v>65</v>
      </c>
      <c r="B11" s="44" t="s">
        <v>73</v>
      </c>
      <c r="C11" s="44"/>
    </row>
    <row r="12" customFormat="false" ht="60" hidden="false" customHeight="true" outlineLevel="0" collapsed="false">
      <c r="A12" s="45" t="s">
        <v>67</v>
      </c>
      <c r="B12" s="44" t="s">
        <v>74</v>
      </c>
      <c r="C12" s="44"/>
    </row>
    <row r="13" customFormat="false" ht="60" hidden="false" customHeight="true" outlineLevel="0" collapsed="false">
      <c r="A13" s="45" t="s">
        <v>69</v>
      </c>
      <c r="B13" s="44" t="s">
        <v>75</v>
      </c>
      <c r="C13" s="44"/>
    </row>
  </sheetData>
  <mergeCells count="11">
    <mergeCell ref="A1:C1"/>
    <mergeCell ref="A3:C3"/>
    <mergeCell ref="B4:C4"/>
    <mergeCell ref="B5:C5"/>
    <mergeCell ref="B6:C6"/>
    <mergeCell ref="B7:C7"/>
    <mergeCell ref="A9:C9"/>
    <mergeCell ref="B10:C10"/>
    <mergeCell ref="B11:C11"/>
    <mergeCell ref="B12:C12"/>
    <mergeCell ref="B13:C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2026-03-10T20:31:39Z</dcterms:created>
  <dc:creator>openpyxl</dc:creator>
  <dc:description/>
  <dc:language>en-US</dc:language>
  <cp:lastModifiedBy/>
  <dcterms:modified xsi:type="dcterms:W3CDTF">2026-03-10T20:32:00Z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